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C611E461-BA92-4A51-AC0C-A4C15FBC8006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2" sheetId="4" r:id="rId1"/>
    <sheet name="Лист3" sheetId="5" r:id="rId2"/>
    <sheet name="Лист4" sheetId="6" r:id="rId3"/>
  </sheets>
  <functionGroups builtInGroupCount="19"/>
  <definedNames>
    <definedName name="cbs" localSheetId="0">#REF!</definedName>
    <definedName name="cbs">#REF!</definedName>
    <definedName name="wbs" localSheetId="0">#REF!</definedName>
    <definedName name="wbs">#REF!</definedName>
    <definedName name="аванс_платежка" localSheetId="0">#REF!</definedName>
    <definedName name="аванс_платежка">#REF!</definedName>
    <definedName name="акт_дата" localSheetId="0">#REF!</definedName>
    <definedName name="акт_дата">#REF!</definedName>
    <definedName name="акт_зач_аванса_дата" localSheetId="0">#REF!</definedName>
    <definedName name="акт_зач_аванса_дата">#REF!</definedName>
    <definedName name="акт_зач_аванса_номер" localSheetId="0">#REF!</definedName>
    <definedName name="акт_зач_аванса_номер">#REF!</definedName>
    <definedName name="акт_номер" localSheetId="0">#REF!</definedName>
    <definedName name="акт_номер">#REF!</definedName>
    <definedName name="договор_en" localSheetId="0">#REF!</definedName>
    <definedName name="договор_en">#REF!</definedName>
    <definedName name="договор_ru" localSheetId="0">#REF!</definedName>
    <definedName name="договор_ru">#REF!</definedName>
    <definedName name="договор_номер" localSheetId="0">#REF!</definedName>
    <definedName name="договор_номер">#REF!</definedName>
    <definedName name="ключ_имя_en" localSheetId="0">#REF!</definedName>
    <definedName name="ключ_имя_en">#REF!</definedName>
    <definedName name="ключ_имя_ru" localSheetId="0">#REF!</definedName>
    <definedName name="ключ_имя_ru">#REF!</definedName>
    <definedName name="ключ_номер" localSheetId="0">#REF!</definedName>
    <definedName name="ключ_номер">#REF!</definedName>
    <definedName name="счет.факт_дата" localSheetId="0">#REF!</definedName>
    <definedName name="счет.факт_дата">#REF!</definedName>
    <definedName name="счет.факт_номер" localSheetId="0">#REF!</definedName>
    <definedName name="счет.факт_номер">#REF!</definedName>
    <definedName name="счет_дата" localSheetId="0">#REF!</definedName>
    <definedName name="счет_дата">#REF!</definedName>
    <definedName name="счет_номер" localSheetId="0">#REF!</definedName>
    <definedName name="счет_номер">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6" l="1"/>
  <c r="E3" i="5"/>
</calcChain>
</file>

<file path=xl/sharedStrings.xml><?xml version="1.0" encoding="utf-8"?>
<sst xmlns="http://schemas.openxmlformats.org/spreadsheetml/2006/main" count="72" uniqueCount="42">
  <si>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</si>
  <si>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</si>
  <si>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</si>
  <si>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</si>
  <si>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</si>
  <si>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</si>
  <si>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</si>
  <si>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</si>
  <si>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</si>
  <si>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</si>
  <si>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</si>
  <si>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</si>
  <si>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</si>
  <si>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</si>
  <si>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</si>
  <si>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</si>
  <si>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</si>
  <si>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</si>
  <si>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</si>
  <si>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</si>
  <si>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</si>
  <si>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</si>
  <si>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</si>
  <si>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</si>
  <si>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</si>
  <si>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</si>
  <si>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</si>
  <si>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</si>
  <si>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</si>
  <si>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</si>
  <si>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</si>
  <si>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</si>
  <si>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Header2</t>
  </si>
  <si>
    <t>Header1</t>
  </si>
  <si>
    <t>Header3</t>
  </si>
  <si>
    <t>Header6</t>
  </si>
  <si>
    <t>рппр</t>
  </si>
  <si>
    <t>Столбец1</t>
  </si>
  <si>
    <t>0/32FE070</t>
  </si>
  <si>
    <t>select * from public.ref_metric_unit;</t>
  </si>
  <si>
    <t>{"Err":"не удалось сериализовать ответ БД в JSON-формат: ОШИБКА"}</t>
  </si>
  <si>
    <t>{"Ok":[{"data":{"Ok":[{"id":"иное"},{"id":"м"},{"id":"м2"},{"id":"м3"},{"id":"т"},{"id":"шт"}]},"requesters_id":null}]}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</si>
</sst>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4" fillId="3" borderId="0" xfId="0" applyFont="1" applyFill="1" applyBorder="1" applyAlignment="1">
      <alignment horizontal="left" vertical="top"/>
    </xf>
  </cellXfs>
  <cellStyles count="2">
    <cellStyle name="Обычный" xfId="0" builtinId="0"/>
    <cellStyle name="Обычный 2" xfId="1" xr:uid="{42F3ADC2-EA83-4ED7-9237-8D721D3F26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259080</xdr:colOff>
      <xdr:row>3</xdr:row>
      <xdr:rowOff>220980</xdr:rowOff>
    </xdr:from>
    <xdr:to>
      <xdr:col>3</xdr:col>
      <xdr:colOff>670560</xdr:colOff>
      <xdr:row>4</xdr:row>
      <xdr:rowOff>224790</xdr:rowOff>
    </xdr:to>
    <xdr:sp macro="[0]!main.main" textlink="">
      <xdr:nvSpPr>
        <xdr:cNvPr id="5" name="Скругленный прямоугольник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29840" y="106680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25DA94-5A30-414B-AA25-920A98AC0772}" name="Таблица9" displayName="Таблица9" ref="B4:E14" totalsRowShown="0">
  <autoFilter ref="B4:E14" xr:uid="{27E320BE-B266-42CE-BFF7-F74841892BF8}"/>
  <tableColumns count="4">
    <tableColumn id="28" xr3:uid="{DA9C2C36-0E2B-4249-AA8C-570DD0A44080}" name="Header6"/>
    <tableColumn id="24" xr3:uid="{ACE35986-BC6F-428B-BD11-67D58CA18A5F}" name="Header1"/>
    <tableColumn id="22" xr3:uid="{BAA92F0C-BD42-410D-B835-8D13B8FB0730}" name="Header2"/>
    <tableColumn id="1" xr3:uid="{480FF3C6-DB02-4BDE-A8BC-E93CA3AC957A}" name="Header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tabSelected="1" workbookViewId="0">
      <selection activeCell="F4" sqref="F4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2" t="s">
        <v>39</v>
      </c>
      <c r="B1" s="12"/>
    </row>
    <row r="2" spans="1:13" s="5" customFormat="1" ht="22.2" customHeight="1" x14ac:dyDescent="0.3">
      <c r="A2" s="8" t="s">
        <v>25</v>
      </c>
      <c r="B2" s="9" t="s">
        <v>38</v>
      </c>
    </row>
    <row r="3" spans="1:13" s="1" customFormat="1" ht="22.2" customHeight="1" x14ac:dyDescent="0.3">
      <c r="A3" s="8" t="s">
        <v>28</v>
      </c>
      <c r="B3" s="7" t="b">
        <v>0</v>
      </c>
      <c r="F3" s="5" t="s">
        <v>40</v>
      </c>
    </row>
    <row r="4" spans="1:13" ht="22.2" customHeight="1" x14ac:dyDescent="0.3">
      <c r="A4" s="8" t="s">
        <v>26</v>
      </c>
      <c r="B4" s="7" t="b">
        <v>0</v>
      </c>
      <c r="C4" s="1"/>
      <c r="F4" s="5" t="s">
        <v>41</v>
      </c>
    </row>
    <row r="5" spans="1:13" ht="20.399999999999999" x14ac:dyDescent="0.3">
      <c r="A5" s="8" t="s">
        <v>27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37</v>
      </c>
    </row>
    <row r="9" spans="1:13" x14ac:dyDescent="0.3">
      <c r="A9" s="3">
        <v>1</v>
      </c>
    </row>
    <row r="10" spans="1:13" x14ac:dyDescent="0.3"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I10" s="2" t="s">
        <v>7</v>
      </c>
      <c r="J10" s="2" t="s">
        <v>8</v>
      </c>
      <c r="K10" s="2" t="s">
        <v>9</v>
      </c>
      <c r="L10" s="2" t="s">
        <v>10</v>
      </c>
      <c r="M10" s="2" t="s">
        <v>0</v>
      </c>
    </row>
    <row r="11" spans="1:13" x14ac:dyDescent="0.3">
      <c r="C11" s="2">
        <v>210506</v>
      </c>
      <c r="D11" s="2" t="s">
        <v>11</v>
      </c>
      <c r="E11" s="2" t="s">
        <v>12</v>
      </c>
      <c r="F11" s="2" t="s">
        <v>13</v>
      </c>
      <c r="G11" s="2">
        <v>40</v>
      </c>
      <c r="H11" s="2" t="s">
        <v>20</v>
      </c>
      <c r="I11" s="4">
        <v>44379</v>
      </c>
      <c r="J11" s="2" t="s">
        <v>15</v>
      </c>
      <c r="K11" s="2" t="s">
        <v>21</v>
      </c>
      <c r="L11" s="2" t="s">
        <v>17</v>
      </c>
    </row>
    <row r="12" spans="1:13" x14ac:dyDescent="0.3">
      <c r="C12" s="2">
        <v>210938</v>
      </c>
      <c r="D12" s="2" t="s">
        <v>11</v>
      </c>
      <c r="E12" s="2" t="s">
        <v>12</v>
      </c>
      <c r="F12" s="2" t="s">
        <v>13</v>
      </c>
      <c r="G12" s="2">
        <v>48</v>
      </c>
      <c r="H12" s="2" t="s">
        <v>14</v>
      </c>
      <c r="I12" s="4">
        <v>44529</v>
      </c>
      <c r="J12" s="2" t="s">
        <v>15</v>
      </c>
      <c r="K12" s="2" t="s">
        <v>16</v>
      </c>
      <c r="L12" s="2" t="s">
        <v>17</v>
      </c>
    </row>
    <row r="13" spans="1:13" x14ac:dyDescent="0.3">
      <c r="C13" s="2" t="s">
        <v>22</v>
      </c>
      <c r="D13" s="2" t="s">
        <v>23</v>
      </c>
      <c r="E13" s="2" t="s">
        <v>12</v>
      </c>
      <c r="F13" s="2" t="s">
        <v>13</v>
      </c>
      <c r="H13" s="2">
        <v>6</v>
      </c>
      <c r="K13" s="2" t="s">
        <v>24</v>
      </c>
      <c r="L13" s="2" t="s">
        <v>17</v>
      </c>
    </row>
    <row r="14" spans="1:13" x14ac:dyDescent="0.3">
      <c r="C14" s="2">
        <v>220622</v>
      </c>
      <c r="D14" s="2" t="s">
        <v>11</v>
      </c>
      <c r="E14" s="2" t="s">
        <v>12</v>
      </c>
      <c r="F14" s="2" t="s">
        <v>13</v>
      </c>
      <c r="G14" s="2" t="s">
        <v>36</v>
      </c>
      <c r="H14" s="2" t="s">
        <v>18</v>
      </c>
      <c r="I14" s="4">
        <v>1</v>
      </c>
      <c r="J14" s="2" t="s">
        <v>15</v>
      </c>
      <c r="K14" s="2" t="s">
        <v>19</v>
      </c>
      <c r="L14" s="2" t="s">
        <v>17</v>
      </c>
    </row>
    <row r="15" spans="1:13" x14ac:dyDescent="0.3">
      <c r="C15" s="2">
        <v>210506</v>
      </c>
      <c r="D15" s="2" t="s">
        <v>11</v>
      </c>
      <c r="E15" s="2" t="s">
        <v>12</v>
      </c>
      <c r="F15" s="2" t="s">
        <v>13</v>
      </c>
      <c r="G15" s="2">
        <v>40</v>
      </c>
      <c r="H15" s="2" t="s">
        <v>20</v>
      </c>
      <c r="I15" s="4">
        <v>44379</v>
      </c>
      <c r="J15" s="2" t="s">
        <v>15</v>
      </c>
      <c r="K15" s="2" t="s">
        <v>21</v>
      </c>
      <c r="L15" s="2" t="s">
        <v>17</v>
      </c>
    </row>
    <row r="16" spans="1:13" x14ac:dyDescent="0.3">
      <c r="C16" s="2">
        <v>210938</v>
      </c>
      <c r="D16" s="2" t="s">
        <v>11</v>
      </c>
      <c r="E16" s="2" t="s">
        <v>12</v>
      </c>
      <c r="F16" s="2" t="s">
        <v>13</v>
      </c>
      <c r="G16" s="2">
        <v>48</v>
      </c>
      <c r="H16" s="2" t="s">
        <v>14</v>
      </c>
      <c r="I16" s="4">
        <v>44529</v>
      </c>
      <c r="J16" s="2" t="s">
        <v>15</v>
      </c>
      <c r="K16" s="2" t="s">
        <v>16</v>
      </c>
      <c r="L16" s="2" t="s">
        <v>17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K17"/>
  <sheetViews>
    <sheetView workbookViewId="0">
      <selection activeCell="C1" sqref="C1"/>
    </sheetView>
  </sheetViews>
  <sheetFormatPr defaultRowHeight="14.4" x14ac:dyDescent="0.3"/>
  <cols>
    <col min="1" max="2" width="11.109375" customWidth="1"/>
    <col min="3" max="3" width="12" customWidth="1"/>
  </cols>
  <sheetData>
    <row r="1" spans="1:11" x14ac:dyDescent="0.3">
      <c r="A1" t="s">
        <v>29</v>
      </c>
      <c r="B1" t="s">
        <v>30</v>
      </c>
      <c r="C1" t="s">
        <v>31</v>
      </c>
    </row>
    <row r="2" spans="1:11" x14ac:dyDescent="0.3">
      <c r="C2">
        <v>1</v>
      </c>
    </row>
    <row r="3" spans="1:11" x14ac:dyDescent="0.3">
      <c r="C3">
        <v>2</v>
      </c>
      <c r="E3">
        <f>SUM(Таблица8[в])</f>
        <v>28</v>
      </c>
    </row>
    <row r="4" spans="1:11" x14ac:dyDescent="0.3">
      <c r="C4">
        <v>3</v>
      </c>
    </row>
    <row r="5" spans="1:11" x14ac:dyDescent="0.3">
      <c r="C5">
        <v>4</v>
      </c>
    </row>
    <row r="6" spans="1:11" x14ac:dyDescent="0.3">
      <c r="C6">
        <v>5</v>
      </c>
    </row>
    <row r="7" spans="1:11" x14ac:dyDescent="0.3">
      <c r="C7">
        <v>6</v>
      </c>
    </row>
    <row r="8" spans="1:11" x14ac:dyDescent="0.3">
      <c r="C8">
        <v>7</v>
      </c>
    </row>
    <row r="10" spans="1:11" x14ac:dyDescent="0.3">
      <c r="I10" t="s">
        <v>29</v>
      </c>
      <c r="J10" t="s">
        <v>30</v>
      </c>
      <c r="K10" t="s">
        <v>31</v>
      </c>
    </row>
    <row r="11" spans="1:11" x14ac:dyDescent="0.3">
      <c r="K11">
        <v>1</v>
      </c>
    </row>
    <row r="12" spans="1:11" x14ac:dyDescent="0.3">
      <c r="K12">
        <v>2</v>
      </c>
    </row>
    <row r="13" spans="1:11" x14ac:dyDescent="0.3">
      <c r="K13">
        <v>3</v>
      </c>
    </row>
    <row r="14" spans="1:11" x14ac:dyDescent="0.3">
      <c r="K14">
        <v>4</v>
      </c>
    </row>
    <row r="15" spans="1:11" x14ac:dyDescent="0.3">
      <c r="K15">
        <v>5</v>
      </c>
    </row>
    <row r="16" spans="1:11" x14ac:dyDescent="0.3">
      <c r="K16">
        <v>6</v>
      </c>
    </row>
    <row r="17" spans="11:11" x14ac:dyDescent="0.3">
      <c r="K17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349-E986-48BA-B6AD-2D99D1605D40}">
  <sheetPr codeName="Лист2"/>
  <dimension ref="B4:H14"/>
  <sheetViews>
    <sheetView workbookViewId="0">
      <selection activeCell="C1" sqref="C1"/>
    </sheetView>
  </sheetViews>
  <sheetFormatPr defaultRowHeight="14.4" x14ac:dyDescent="0.3"/>
  <cols>
    <col min="1" max="1" width="16.21875" customWidth="1"/>
  </cols>
  <sheetData>
    <row r="4" spans="2:8" ht="28.8" customHeight="1" x14ac:dyDescent="0.3">
      <c r="B4" t="s">
        <v>35</v>
      </c>
      <c r="C4" t="s">
        <v>33</v>
      </c>
      <c r="D4" t="s">
        <v>32</v>
      </c>
      <c r="E4" t="s">
        <v>34</v>
      </c>
    </row>
    <row r="5" spans="2:8" x14ac:dyDescent="0.3">
      <c r="E5">
        <v>1</v>
      </c>
    </row>
    <row r="6" spans="2:8" x14ac:dyDescent="0.3">
      <c r="E6">
        <v>2</v>
      </c>
    </row>
    <row r="7" spans="2:8" x14ac:dyDescent="0.3">
      <c r="E7">
        <v>3</v>
      </c>
      <c r="H7">
        <f>SUM(Таблица9[Header3])</f>
        <v>55</v>
      </c>
    </row>
    <row r="8" spans="2:8" x14ac:dyDescent="0.3">
      <c r="C8" s="11"/>
      <c r="D8" s="10"/>
      <c r="E8">
        <v>4</v>
      </c>
    </row>
    <row r="9" spans="2:8" x14ac:dyDescent="0.3">
      <c r="E9">
        <v>5</v>
      </c>
    </row>
    <row r="10" spans="2:8" x14ac:dyDescent="0.3">
      <c r="E10">
        <v>6</v>
      </c>
    </row>
    <row r="11" spans="2:8" x14ac:dyDescent="0.3">
      <c r="E11">
        <v>7</v>
      </c>
    </row>
    <row r="12" spans="2:8" x14ac:dyDescent="0.3">
      <c r="E12">
        <v>8</v>
      </c>
    </row>
    <row r="13" spans="2:8" x14ac:dyDescent="0.3">
      <c r="E13">
        <v>9</v>
      </c>
    </row>
    <row r="14" spans="2:8" x14ac:dyDescent="0.3">
      <c r="E14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2023-08-02T23:54:15Z</dcterms:modified>
</cp:coreProperties>
</file>