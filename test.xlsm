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_dll_postgres_rust\"/>
    </mc:Choice>
  </mc:AlternateContent>
  <xr:revisionPtr revIDLastSave="0" documentId="13_ncr:1_{D9837C43-C935-4D6A-BFF6-D1A2E899F2FE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1" sheetId="7" r:id="rId1"/>
    <sheet name="Лист4" sheetId="33" r:id="rId2"/>
    <sheet name="bg" sheetId="31" r:id="rId3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31" l="1"/>
  <c r="D5" i="31"/>
  <c r="D6" i="31"/>
  <c r="E4" i="31"/>
  <c r="E5" i="31"/>
  <c r="E6" i="31"/>
  <c r="F4" i="31"/>
  <c r="F5" i="31"/>
  <c r="F6" i="31"/>
  <c r="G4" i="31"/>
  <c r="G5" i="31"/>
  <c r="G6" i="31"/>
  <c r="H4" i="31"/>
  <c r="H5" i="31"/>
  <c r="H6" i="31"/>
  <c r="I4" i="31"/>
  <c r="I5" i="31"/>
  <c r="I6" i="31"/>
  <c r="J4" i="31"/>
  <c r="J5" i="31"/>
  <c r="J6" i="31"/>
  <c r="N4" i="31"/>
  <c r="N5" i="31"/>
  <c r="N6" i="31"/>
  <c r="N3" i="31"/>
  <c r="J3" i="31"/>
  <c r="I3" i="31"/>
  <c r="H3" i="31"/>
  <c r="G3" i="31"/>
  <c r="F3" i="31"/>
  <c r="E3" i="31"/>
  <c r="D3" i="31"/>
</calcChain>
</file>

<file path=xl/sharedStrings.xml><?xml version="1.0" encoding="utf-8"?>
<sst xmlns="http://schemas.openxmlformats.org/spreadsheetml/2006/main" count="100" uniqueCount="63">
  <si>
    <t>id</t>
  </si>
  <si>
    <t>company_id</t>
  </si>
  <si>
    <t>lot_number</t>
  </si>
  <si>
    <t>doc_number</t>
  </si>
  <si>
    <t>doc_date</t>
  </si>
  <si>
    <t>short_title_work</t>
  </si>
  <si>
    <t>АСЭ</t>
  </si>
  <si>
    <t>7720/210938</t>
  </si>
  <si>
    <t>Подбетонка, ФП 10, 20UJE, UKD</t>
  </si>
  <si>
    <t>7720/220622</t>
  </si>
  <si>
    <t>Блок №1/ Unit No.1</t>
  </si>
  <si>
    <t>7720/210506</t>
  </si>
  <si>
    <t>Подбетонка, ФП 10, 20UJA</t>
  </si>
  <si>
    <t>письмо_тест</t>
  </si>
  <si>
    <t>тест</t>
  </si>
  <si>
    <t>рппр</t>
  </si>
  <si>
    <t>select * from public.ref_metric_unit;</t>
  </si>
  <si>
    <r>
      <t xml:space="preserve">SQL-запрос
</t>
    </r>
    <r>
      <rPr>
        <sz val="8"/>
        <rFont val="Calibri"/>
        <family val="2"/>
        <charset val="204"/>
        <scheme val="minor"/>
      </rPr>
      <t>(совместимый с PostgreSQL)</t>
    </r>
  </si>
  <si>
    <r>
      <t xml:space="preserve">разрешить обновление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</si>
  <si>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столбец поддерживается автоматически, вы заметите это только в случае "+" в lazy_update</t>
  </si>
  <si>
    <r>
      <t xml:space="preserve">ускорение: не перезаписывать, если в базе нет изменений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</si>
  <si>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r>
      <t xml:space="preserve">лист
</t>
    </r>
    <r>
      <rPr>
        <sz val="8"/>
        <rFont val="Calibri"/>
        <family val="2"/>
        <charset val="204"/>
        <scheme val="minor"/>
      </rPr>
      <t>оставьте ячейку пустой, чтобы каждый раз получать результат на новом листе
указали несуществующий лист?
Такой лист будет создан</t>
    </r>
  </si>
  <si>
    <r>
      <t xml:space="preserve">последнее обновление
</t>
    </r>
    <r>
      <rPr>
        <sz val="8"/>
        <rFont val="Calibri"/>
        <family val="2"/>
        <charset val="204"/>
        <scheme val="minor"/>
      </rPr>
      <t>столбец заполняется автоматически</t>
    </r>
  </si>
  <si>
    <t>+</t>
  </si>
  <si>
    <t>SELECT * FROM  public.ref_metric_unit WHERE 1 = 0;</t>
  </si>
  <si>
    <t>Лист4</t>
  </si>
  <si>
    <r>
      <t xml:space="preserve">обновлять только столбцы с примечаниями сверху
</t>
    </r>
    <r>
      <rPr>
        <sz val="8"/>
        <rFont val="Calibri"/>
        <family val="2"/>
        <charset val="204"/>
        <scheme val="minor"/>
      </rPr>
      <t>согласие - знак "+"</t>
    </r>
  </si>
  <si>
    <t>select * from sdo.legal_basis;</t>
  </si>
  <si>
    <t>bg</t>
  </si>
  <si>
    <t>нажмите +, чтобы увидеть больше настроек</t>
  </si>
  <si>
    <t>Столбец1</t>
  </si>
  <si>
    <t>Столбец2</t>
  </si>
  <si>
    <t>Столбец12</t>
  </si>
  <si>
    <t>Столбец13</t>
  </si>
  <si>
    <t>Столбец14</t>
  </si>
  <si>
    <t>Столбец15</t>
  </si>
  <si>
    <t>Столбец16</t>
  </si>
  <si>
    <t>Столбец122</t>
  </si>
  <si>
    <t>Договор №</t>
  </si>
  <si>
    <t>Контрагнт</t>
  </si>
  <si>
    <t>Лот</t>
  </si>
  <si>
    <t>0/3300860</t>
  </si>
  <si>
    <t>2023-08-19 at 15:07:22</t>
  </si>
  <si>
    <r>
      <t xml:space="preserve">таблица
</t>
    </r>
    <r>
      <rPr>
        <sz val="8"/>
        <rFont val="Calibri"/>
        <family val="2"/>
        <charset val="204"/>
        <scheme val="minor"/>
      </rPr>
      <t xml:space="preserve">
можно не указывать, если у листа она одна</t>
    </r>
  </si>
  <si>
    <t>legal_basis_type</t>
  </si>
  <si>
    <t>company_type</t>
  </si>
  <si>
    <t>price_type</t>
  </si>
  <si>
    <t>folder_path</t>
  </si>
  <si>
    <t>user_note</t>
  </si>
  <si>
    <t>контракт</t>
  </si>
  <si>
    <t>иное</t>
  </si>
  <si>
    <t>заказчик</t>
  </si>
  <si>
    <t>открытая</t>
  </si>
  <si>
    <t>C:\Users\User\Downloads</t>
  </si>
  <si>
    <t>sheetName</t>
  </si>
  <si>
    <t>tableName</t>
  </si>
  <si>
    <t>isUpdate</t>
  </si>
  <si>
    <t>isCheckMyNotesMode</t>
  </si>
  <si>
    <t>sqlQuery</t>
  </si>
  <si>
    <t>lastUpdate</t>
  </si>
  <si>
    <t>isLazy</t>
  </si>
  <si>
    <t>dbMetadata</t>
  </si>
  <si>
    <t>2023-11-28 at 18:00:23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</si>
</sst>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6"/>
      <color rgb="FFFF0000"/>
      <name val="Calibri"/>
      <family val="2"/>
      <scheme val="minor"/>
    </font>
    <font>
      <sz val="9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33">
    <xf numFmtId="0" fontId="0" fillId="0" borderId="0" xfId="0"/>
    <xf numFmtId="0" fontId="0" fillId="0" borderId="0" xfId="0" applyAlignment="1">
      <alignment vertical="top"/>
    </xf>
    <xf numFmtId="0" fontId="3" fillId="3" borderId="0" xfId="1" applyFont="1" applyFill="1" applyBorder="1" applyAlignment="1">
      <alignment horizontal="center" vertical="top" wrapText="1"/>
    </xf>
    <xf numFmtId="0" fontId="0" fillId="0" borderId="0" xfId="0" applyFont="1" applyAlignment="1">
      <alignment vertical="top"/>
    </xf>
    <xf numFmtId="0" fontId="6" fillId="0" borderId="0" xfId="0" applyFont="1" applyAlignment="1">
      <alignment horizontal="center" vertical="top"/>
    </xf>
    <xf numFmtId="0" fontId="8" fillId="0" borderId="0" xfId="1" applyFont="1" applyFill="1" applyBorder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10" fillId="0" borderId="0" xfId="1" applyFont="1" applyFill="1" applyBorder="1" applyAlignment="1">
      <alignment horizontal="center" vertical="top" wrapText="1"/>
    </xf>
    <xf numFmtId="0" fontId="8" fillId="0" borderId="0" xfId="0" applyFont="1" applyFill="1" applyAlignment="1">
      <alignment horizontal="center" vertical="top" wrapText="1"/>
    </xf>
    <xf numFmtId="0" fontId="4" fillId="0" borderId="0" xfId="0" applyFont="1" applyFill="1" applyBorder="1" applyAlignment="1">
      <alignment horizontal="left"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6" fillId="0" borderId="0" xfId="0" applyFont="1" applyAlignment="1">
      <alignment vertical="top" wrapText="1"/>
    </xf>
    <xf numFmtId="0" fontId="7" fillId="2" borderId="1" xfId="1" applyFont="1" applyFill="1" applyBorder="1" applyAlignment="1">
      <alignment horizontal="center" vertical="top" wrapText="1"/>
    </xf>
    <xf numFmtId="0" fontId="5" fillId="2" borderId="1" xfId="0" applyFont="1" applyFill="1" applyBorder="1" applyAlignment="1">
      <alignment horizontal="center" vertical="top"/>
    </xf>
    <xf numFmtId="0" fontId="3" fillId="3" borderId="0" xfId="0" applyFont="1" applyFill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11" fillId="0" borderId="0" xfId="0" applyFont="1" applyBorder="1" applyAlignment="1">
      <alignment horizontal="center" vertical="top"/>
    </xf>
    <xf numFmtId="0" fontId="12" fillId="0" borderId="0" xfId="0" applyFont="1" applyAlignment="1">
      <alignment horizontal="center" vertical="top" wrapText="1"/>
    </xf>
    <xf numFmtId="0" fontId="13" fillId="2" borderId="0" xfId="1" applyFont="1" applyFill="1" applyBorder="1" applyAlignment="1">
      <alignment horizontal="center" vertical="top" wrapText="1"/>
    </xf>
    <xf numFmtId="49" fontId="8" fillId="0" borderId="0" xfId="0" applyNumberFormat="1" applyFont="1" applyFill="1" applyAlignment="1">
      <alignment horizontal="center" vertical="top" wrapText="1"/>
    </xf>
    <xf numFmtId="49" fontId="7" fillId="2" borderId="1" xfId="1" applyNumberFormat="1" applyFont="1" applyFill="1" applyBorder="1" applyAlignment="1">
      <alignment horizontal="center" vertical="top" wrapText="1"/>
    </xf>
    <xf numFmtId="49" fontId="5" fillId="2" borderId="1" xfId="0" applyNumberFormat="1" applyFont="1" applyFill="1" applyBorder="1" applyAlignment="1">
      <alignment horizontal="center" vertical="top"/>
    </xf>
    <xf numFmtId="49" fontId="6" fillId="0" borderId="0" xfId="0" applyNumberFormat="1" applyFont="1" applyAlignment="1">
      <alignment vertical="top" wrapText="1"/>
    </xf>
    <xf numFmtId="49" fontId="0" fillId="0" borderId="0" xfId="0" applyNumberFormat="1" applyFont="1" applyAlignment="1">
      <alignment vertical="top"/>
    </xf>
    <xf numFmtId="49" fontId="10" fillId="0" borderId="0" xfId="1" applyNumberFormat="1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4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5" fillId="2" borderId="0" xfId="0" applyFont="1" applyFill="1" applyAlignment="1">
      <alignment horizontal="center" vertical="top"/>
    </xf>
    <xf numFmtId="0" fontId="5" fillId="2" borderId="0" xfId="0" applyNumberFormat="1" applyFont="1" applyFill="1" applyAlignment="1">
      <alignment horizontal="center" vertical="top"/>
    </xf>
    <xf numFmtId="0" fontId="0" fillId="0" borderId="0" xfId="0" applyAlignment="1">
      <alignment horizontal="center" vertical="top" wrapText="1"/>
    </xf>
    <xf numFmtId="14" fontId="0" fillId="0" borderId="0" xfId="0" applyNumberFormat="1"/>
  </cellXfs>
  <cellStyles count="2">
    <cellStyle name="Обычный" xfId="0" builtinId="0"/>
    <cellStyle name="Обычный 2" xfId="1" xr:uid="{42F3ADC2-EA83-4ED7-9237-8D721D3F2600}"/>
  </cellStyles>
  <dxfs count="26">
    <dxf>
      <alignment horizontal="general" vertical="top" textRotation="0" wrapText="1" indent="0" justifyLastLine="0" shrinkToFit="0" readingOrder="0"/>
    </dxf>
    <dxf>
      <font>
        <color theme="0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alignment horizontal="center" vertical="top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0" formatCode="@"/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1303020</xdr:colOff>
      <xdr:row>0</xdr:row>
      <xdr:rowOff>480060</xdr:rowOff>
    </xdr:from>
    <xdr:to>
      <xdr:col>4</xdr:col>
      <xdr:colOff>2324100</xdr:colOff>
      <xdr:row>0</xdr:row>
      <xdr:rowOff>765810</xdr:rowOff>
    </xdr:to>
    <xdr:sp macro="[0]!main.main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720" y="48006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082719-7264-473C-872E-2925366D5A99}" name="tblParam" displayName="tblParam" ref="A2:H7" totalsRowShown="0" headerRowDxfId="25" dataDxfId="24" headerRowCellStyle="Обычный 2">
  <autoFilter ref="A2:H7" xr:uid="{49663711-950E-40FB-8C5B-F497A1A18BA9}"/>
  <tableColumns count="8">
    <tableColumn id="8" xr3:uid="{4856DAD9-F43A-4C6F-B1F0-64B26B97F1C2}" name="sheetName" dataDxfId="23"/>
    <tableColumn id="6" xr3:uid="{3AA26EEA-C8AF-4D2E-8D1D-1CD09429B4D8}" name="tableName" dataDxfId="22"/>
    <tableColumn id="2" xr3:uid="{6CECBF95-6392-4C66-9837-D9998C1F07E7}" name="isUpdate" dataDxfId="21">
      <calculatedColumnFormula>"+"</calculatedColumnFormula>
    </tableColumn>
    <tableColumn id="7" xr3:uid="{697C9034-476C-4F9C-8C0F-246D4F48144A}" name="isCheckMyNotesMode" dataDxfId="20"/>
    <tableColumn id="4" xr3:uid="{A25756A3-581F-4965-8A12-8958BC9F36B2}" name="sqlQuery" dataDxfId="19"/>
    <tableColumn id="11" xr3:uid="{758B8A5A-A60F-4942-B0FC-34C52184AE71}" name="lastUpdate" dataDxfId="18"/>
    <tableColumn id="10" xr3:uid="{E722A0CE-F6EE-483C-8B89-C7CC964E0A9D}" name="isLazy" dataDxfId="17"/>
    <tableColumn id="5" xr3:uid="{D4D11CB6-7F40-4F45-8048-95ED821B7757}" name="dbMetadata" dataDxfId="1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0D8947A-FE2F-4646-841E-5F54337E12CA}" name="Таблица1" displayName="Таблица1" ref="B2:L6" totalsRowShown="0">
  <autoFilter ref="B2:L6" xr:uid="{A98C8DB4-22E5-4DD8-9D3E-AC1F85C455F2}"/>
  <tableColumns count="11">
    <tableColumn id="2" xr3:uid="{DFA74016-9E1D-4D0C-883E-5420C3E8411D}" name="id"/>
    <tableColumn id="3" xr3:uid="{DB210CEC-C6B6-4307-A034-4938BE929E06}" name="legal_basis_type"/>
    <tableColumn id="4" xr3:uid="{17CE52F6-0798-4452-B1D2-96144523C65C}" name="company_type"/>
    <tableColumn id="5" xr3:uid="{EA309760-E939-4DC2-9AA1-05C4B372AAE0}" name="company_id"/>
    <tableColumn id="6" xr3:uid="{CF95B8FD-487F-4FCF-837A-079ABC154407}" name="lot_number"/>
    <tableColumn id="7" xr3:uid="{33BCB8C9-6405-43D5-B39F-7D97E8853D30}" name="doc_number"/>
    <tableColumn id="8" xr3:uid="{148BF85F-0FE0-4A2B-9151-78B3D969A960}" name="doc_date"/>
    <tableColumn id="9" xr3:uid="{58D70925-7E6B-4608-8155-366E64C20561}" name="price_type"/>
    <tableColumn id="10" xr3:uid="{3F4BAA52-C438-4135-B93E-8B66062D2BDD}" name="short_title_work"/>
    <tableColumn id="11" xr3:uid="{40829BD6-AC59-40C4-832F-30CEE277CC38}" name="folder_path"/>
    <tableColumn id="12" xr3:uid="{A1B42528-8D10-4539-A906-B42733EBE9F5}" name="user_no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3E21798-CA97-4147-8318-D68A4AC18598}" name="Таблица5" displayName="Таблица5" ref="B2:O6" totalsRowShown="0" headerRowDxfId="15" dataDxfId="14">
  <autoFilter ref="B2:O6" xr:uid="{BF073209-CBCC-468F-B80A-485826CE9F0F}"/>
  <tableColumns count="14">
    <tableColumn id="2" xr3:uid="{E0498B9D-EACF-4737-8BED-37D781ABDFA7}" name="Договор №" dataDxfId="13"/>
    <tableColumn id="5" xr3:uid="{0099CA26-6C46-4C73-BB4C-A995E3CE0FA0}" name="Контрагнт" dataDxfId="12"/>
    <tableColumn id="16" xr3:uid="{DDDD5B00-C8A3-4380-A2C6-7032301199D1}" name="Столбец1" dataDxfId="11">
      <calculatedColumnFormula>1+2</calculatedColumnFormula>
    </tableColumn>
    <tableColumn id="22" xr3:uid="{A4F1CEB0-76FB-4DE7-ABC5-54324D42471B}" name="Столбец16" dataDxfId="10">
      <calculatedColumnFormula>1+2</calculatedColumnFormula>
    </tableColumn>
    <tableColumn id="21" xr3:uid="{CB2A3744-EFBD-41D5-9C9C-1318E001C280}" name="Столбец15" dataDxfId="9">
      <calculatedColumnFormula>1+2</calculatedColumnFormula>
    </tableColumn>
    <tableColumn id="20" xr3:uid="{E762DFF1-FBAC-492E-BD32-0B28A28E7FF6}" name="Столбец14" dataDxfId="8">
      <calculatedColumnFormula>1+2</calculatedColumnFormula>
    </tableColumn>
    <tableColumn id="19" xr3:uid="{E387D4E2-59AF-4662-A6D5-B3F2FBBF850F}" name="Столбец13" dataDxfId="7">
      <calculatedColumnFormula>1+2</calculatedColumnFormula>
    </tableColumn>
    <tableColumn id="18" xr3:uid="{C2E4A276-F8F4-4A5D-A12E-201C08AC05FE}" name="Столбец12" dataDxfId="6">
      <calculatedColumnFormula>1+2</calculatedColumnFormula>
    </tableColumn>
    <tableColumn id="17" xr3:uid="{3B52E128-6D98-4CFD-BC26-1E0195F901FD}" name="Столбец2" dataDxfId="5">
      <calculatedColumnFormula>1+2</calculatedColumnFormula>
    </tableColumn>
    <tableColumn id="6" xr3:uid="{876F5288-F627-4D22-A931-EBD10549D4E1}" name="Лот" dataDxfId="4"/>
    <tableColumn id="7" xr3:uid="{CA97FC1A-E763-4576-89D9-6BAA55E1B403}" name="doc_number" dataDxfId="3"/>
    <tableColumn id="8" xr3:uid="{9106767D-C65B-4E5E-9E74-40F874E9FD54}" name="doc_date" dataDxfId="2"/>
    <tableColumn id="23" xr3:uid="{4A6E7D31-6CA1-4F0C-BB95-9D9FE6FE80BB}" name="Столбец122" dataDxfId="1">
      <calculatedColumnFormula>1+2</calculatedColumnFormula>
    </tableColumn>
    <tableColumn id="10" xr3:uid="{321EAAB3-B9C0-4B1B-9680-7A0ACAA41A36}" name="short_title_wor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042F9-28CF-42A1-B1E0-34C5F047F3E3}">
  <sheetPr codeName="Лист2"/>
  <dimension ref="A1:J15"/>
  <sheetViews>
    <sheetView tabSelected="1" workbookViewId="0">
      <selection activeCell="A13" sqref="A13"/>
    </sheetView>
  </sheetViews>
  <sheetFormatPr defaultRowHeight="14.4" outlineLevelCol="1" x14ac:dyDescent="0.3"/>
  <cols>
    <col min="1" max="1" width="29.77734375" style="1" customWidth="1"/>
    <col min="2" max="2" width="15.21875" style="1" customWidth="1"/>
    <col min="3" max="4" width="15.44140625" style="3" customWidth="1"/>
    <col min="5" max="5" width="51.77734375" style="3" customWidth="1"/>
    <col min="6" max="6" width="21.44140625" style="24" customWidth="1"/>
    <col min="7" max="7" width="16" style="3" customWidth="1" outlineLevel="1"/>
    <col min="8" max="8" width="17.6640625" style="11" customWidth="1" outlineLevel="1"/>
    <col min="9" max="16384" width="8.88671875" style="3"/>
  </cols>
  <sheetData>
    <row r="1" spans="1:10" s="6" customFormat="1" ht="87.6" customHeight="1" x14ac:dyDescent="0.3">
      <c r="A1" s="5" t="s">
        <v>21</v>
      </c>
      <c r="B1" s="7" t="s">
        <v>43</v>
      </c>
      <c r="C1" s="7" t="s">
        <v>18</v>
      </c>
      <c r="D1" s="7" t="s">
        <v>26</v>
      </c>
      <c r="E1" s="8" t="s">
        <v>17</v>
      </c>
      <c r="F1" s="20" t="s">
        <v>22</v>
      </c>
      <c r="G1" s="7" t="s">
        <v>20</v>
      </c>
      <c r="H1" s="19" t="s">
        <v>19</v>
      </c>
      <c r="I1" s="18" t="s">
        <v>29</v>
      </c>
    </row>
    <row r="2" spans="1:10" s="4" customFormat="1" ht="10.199999999999999" x14ac:dyDescent="0.3">
      <c r="A2" s="2" t="s">
        <v>54</v>
      </c>
      <c r="B2" s="2" t="s">
        <v>55</v>
      </c>
      <c r="C2" s="2" t="s">
        <v>56</v>
      </c>
      <c r="D2" s="2" t="s">
        <v>57</v>
      </c>
      <c r="E2" s="15" t="s">
        <v>58</v>
      </c>
      <c r="F2" s="21" t="s">
        <v>59</v>
      </c>
      <c r="G2" s="2" t="s">
        <v>60</v>
      </c>
      <c r="H2" s="13" t="s">
        <v>61</v>
      </c>
    </row>
    <row r="3" spans="1:10" ht="18" x14ac:dyDescent="0.3">
      <c r="A3" s="11" t="s">
        <v>28</v>
      </c>
      <c r="B3" s="16"/>
      <c r="C3" s="17"/>
      <c r="D3" s="17"/>
      <c r="E3" s="9" t="s">
        <v>27</v>
      </c>
      <c r="F3" s="22" t="s">
        <v>42</v>
      </c>
      <c r="G3" s="17"/>
      <c r="H3" s="14" t="s">
        <v>41</v>
      </c>
    </row>
    <row r="4" spans="1:10" ht="18" x14ac:dyDescent="0.3">
      <c r="A4" s="11" t="s">
        <v>25</v>
      </c>
      <c r="B4" s="16"/>
      <c r="C4" s="17" t="s">
        <v>23</v>
      </c>
      <c r="D4" s="17"/>
      <c r="E4" s="9" t="s">
        <v>27</v>
      </c>
      <c r="F4" s="22" t="s">
        <v>62</v>
      </c>
      <c r="G4" s="17"/>
      <c r="H4" s="14"/>
    </row>
    <row r="5" spans="1:10" ht="18" x14ac:dyDescent="0.3">
      <c r="A5" s="11"/>
      <c r="B5" s="16"/>
      <c r="C5" s="17"/>
      <c r="D5" s="17"/>
      <c r="E5" s="9" t="s">
        <v>16</v>
      </c>
      <c r="F5" s="22"/>
      <c r="G5" s="17"/>
      <c r="H5" s="14"/>
    </row>
    <row r="6" spans="1:10" ht="18" x14ac:dyDescent="0.3">
      <c r="A6" s="11"/>
      <c r="B6" s="16"/>
      <c r="C6" s="17"/>
      <c r="D6" s="17"/>
      <c r="E6" s="9" t="s">
        <v>16</v>
      </c>
      <c r="F6" s="22"/>
      <c r="G6" s="17"/>
      <c r="H6" s="14"/>
      <c r="J6" s="10"/>
    </row>
    <row r="7" spans="1:10" ht="18" x14ac:dyDescent="0.3">
      <c r="A7" s="11"/>
      <c r="B7" s="16"/>
      <c r="C7" s="17"/>
      <c r="D7" s="17"/>
      <c r="E7" s="9" t="s">
        <v>24</v>
      </c>
      <c r="F7" s="22"/>
      <c r="G7" s="17"/>
      <c r="H7" s="14"/>
    </row>
    <row r="10" spans="1:10" x14ac:dyDescent="0.3">
      <c r="F10" s="23"/>
    </row>
    <row r="15" spans="1:10" x14ac:dyDescent="0.3">
      <c r="E15" s="12"/>
      <c r="F15" s="2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352F-1F51-4950-8B96-8EE45D90B3DF}">
  <sheetPr codeName="Лист1"/>
  <dimension ref="B2:L6"/>
  <sheetViews>
    <sheetView workbookViewId="0">
      <selection activeCell="D3" sqref="D3:I7"/>
    </sheetView>
  </sheetViews>
  <sheetFormatPr defaultRowHeight="14.4" x14ac:dyDescent="0.3"/>
  <cols>
    <col min="2" max="2" width="11.109375" customWidth="1"/>
  </cols>
  <sheetData>
    <row r="2" spans="2:12" x14ac:dyDescent="0.3">
      <c r="B2" t="s">
        <v>0</v>
      </c>
      <c r="C2" t="s">
        <v>44</v>
      </c>
      <c r="D2" t="s">
        <v>45</v>
      </c>
      <c r="E2" t="s">
        <v>1</v>
      </c>
      <c r="F2" t="s">
        <v>2</v>
      </c>
      <c r="G2" t="s">
        <v>3</v>
      </c>
      <c r="H2" t="s">
        <v>4</v>
      </c>
      <c r="I2" t="s">
        <v>46</v>
      </c>
      <c r="J2" t="s">
        <v>5</v>
      </c>
      <c r="K2" t="s">
        <v>47</v>
      </c>
      <c r="L2" t="s">
        <v>48</v>
      </c>
    </row>
    <row r="3" spans="2:12" x14ac:dyDescent="0.3">
      <c r="B3">
        <v>210506</v>
      </c>
      <c r="C3" t="s">
        <v>49</v>
      </c>
      <c r="D3" t="s">
        <v>51</v>
      </c>
      <c r="E3" t="s">
        <v>6</v>
      </c>
      <c r="F3">
        <v>40</v>
      </c>
      <c r="G3" t="s">
        <v>11</v>
      </c>
      <c r="H3" s="32">
        <v>44379</v>
      </c>
      <c r="I3" t="s">
        <v>52</v>
      </c>
      <c r="J3" t="s">
        <v>12</v>
      </c>
      <c r="K3" t="s">
        <v>53</v>
      </c>
    </row>
    <row r="4" spans="2:12" x14ac:dyDescent="0.3">
      <c r="B4">
        <v>210938</v>
      </c>
      <c r="C4" t="s">
        <v>49</v>
      </c>
      <c r="D4" t="s">
        <v>51</v>
      </c>
      <c r="E4" t="s">
        <v>6</v>
      </c>
      <c r="F4">
        <v>48</v>
      </c>
      <c r="G4" t="s">
        <v>7</v>
      </c>
      <c r="H4" s="32">
        <v>44529</v>
      </c>
      <c r="I4" t="s">
        <v>52</v>
      </c>
      <c r="J4" t="s">
        <v>8</v>
      </c>
      <c r="K4" t="s">
        <v>53</v>
      </c>
    </row>
    <row r="5" spans="2:12" x14ac:dyDescent="0.3">
      <c r="B5" t="s">
        <v>13</v>
      </c>
      <c r="C5" t="s">
        <v>50</v>
      </c>
      <c r="D5" t="s">
        <v>51</v>
      </c>
      <c r="E5" t="s">
        <v>6</v>
      </c>
      <c r="G5">
        <v>6</v>
      </c>
      <c r="H5" s="32"/>
      <c r="J5" t="s">
        <v>14</v>
      </c>
      <c r="K5" t="s">
        <v>53</v>
      </c>
    </row>
    <row r="6" spans="2:12" x14ac:dyDescent="0.3">
      <c r="B6">
        <v>220622</v>
      </c>
      <c r="C6" t="s">
        <v>49</v>
      </c>
      <c r="D6" t="s">
        <v>51</v>
      </c>
      <c r="E6" t="s">
        <v>6</v>
      </c>
      <c r="F6" t="s">
        <v>15</v>
      </c>
      <c r="G6" t="s">
        <v>9</v>
      </c>
      <c r="H6" s="32">
        <v>1</v>
      </c>
      <c r="I6" t="s">
        <v>52</v>
      </c>
      <c r="J6" t="s">
        <v>10</v>
      </c>
      <c r="K6" t="s">
        <v>53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5C6F-820E-4717-91B0-79CC02BC353E}">
  <sheetPr codeName="Лист4"/>
  <dimension ref="B1:O6"/>
  <sheetViews>
    <sheetView workbookViewId="0">
      <selection activeCell="C4" sqref="C4"/>
    </sheetView>
  </sheetViews>
  <sheetFormatPr defaultRowHeight="14.4" x14ac:dyDescent="0.3"/>
  <cols>
    <col min="1" max="1" width="8.88671875" style="1"/>
    <col min="2" max="2" width="11.109375" style="1" customWidth="1"/>
    <col min="3" max="3" width="8.88671875" style="1"/>
    <col min="4" max="10" width="16.77734375" style="28" customWidth="1"/>
    <col min="11" max="11" width="8.88671875" style="28"/>
    <col min="12" max="12" width="16.44140625" style="1" customWidth="1"/>
    <col min="13" max="14" width="15.5546875" style="1" customWidth="1"/>
    <col min="15" max="15" width="24.33203125" style="26" customWidth="1"/>
    <col min="16" max="16384" width="8.88671875" style="1"/>
  </cols>
  <sheetData>
    <row r="1" spans="2:15" x14ac:dyDescent="0.3">
      <c r="B1" s="1" t="s">
        <v>0</v>
      </c>
      <c r="C1" s="1" t="s">
        <v>1</v>
      </c>
      <c r="K1" s="28" t="s">
        <v>2</v>
      </c>
      <c r="L1" s="1" t="s">
        <v>3</v>
      </c>
      <c r="M1" s="1" t="s">
        <v>4</v>
      </c>
      <c r="O1" s="26" t="s">
        <v>5</v>
      </c>
    </row>
    <row r="2" spans="2:15" s="28" customFormat="1" x14ac:dyDescent="0.3">
      <c r="B2" s="28" t="s">
        <v>38</v>
      </c>
      <c r="C2" s="28" t="s">
        <v>39</v>
      </c>
      <c r="D2" s="29" t="s">
        <v>30</v>
      </c>
      <c r="E2" s="29" t="s">
        <v>36</v>
      </c>
      <c r="F2" s="29" t="s">
        <v>35</v>
      </c>
      <c r="G2" s="29" t="s">
        <v>34</v>
      </c>
      <c r="H2" s="29" t="s">
        <v>33</v>
      </c>
      <c r="I2" s="29" t="s">
        <v>32</v>
      </c>
      <c r="J2" s="29" t="s">
        <v>31</v>
      </c>
      <c r="K2" s="28" t="s">
        <v>40</v>
      </c>
      <c r="L2" s="28" t="s">
        <v>3</v>
      </c>
      <c r="M2" s="28" t="s">
        <v>4</v>
      </c>
      <c r="N2" s="29" t="s">
        <v>37</v>
      </c>
      <c r="O2" s="31" t="s">
        <v>5</v>
      </c>
    </row>
    <row r="3" spans="2:15" x14ac:dyDescent="0.3">
      <c r="B3" s="1">
        <v>210506</v>
      </c>
      <c r="C3" s="1" t="s">
        <v>6</v>
      </c>
      <c r="D3" s="29">
        <f t="shared" ref="D3:J3" si="0">1+2</f>
        <v>3</v>
      </c>
      <c r="E3" s="29">
        <f t="shared" si="0"/>
        <v>3</v>
      </c>
      <c r="F3" s="29">
        <f t="shared" si="0"/>
        <v>3</v>
      </c>
      <c r="G3" s="29">
        <f t="shared" si="0"/>
        <v>3</v>
      </c>
      <c r="H3" s="29">
        <f t="shared" si="0"/>
        <v>3</v>
      </c>
      <c r="I3" s="29">
        <f t="shared" si="0"/>
        <v>3</v>
      </c>
      <c r="J3" s="29">
        <f t="shared" si="0"/>
        <v>3</v>
      </c>
      <c r="K3" s="28">
        <v>40</v>
      </c>
      <c r="L3" s="1" t="s">
        <v>11</v>
      </c>
      <c r="M3" s="27">
        <v>44379</v>
      </c>
      <c r="N3" s="29">
        <f t="shared" ref="N3" si="1">1+2</f>
        <v>3</v>
      </c>
      <c r="O3" s="26" t="s">
        <v>12</v>
      </c>
    </row>
    <row r="4" spans="2:15" ht="28.8" x14ac:dyDescent="0.3">
      <c r="B4" s="1">
        <v>210938</v>
      </c>
      <c r="C4" s="1" t="s">
        <v>6</v>
      </c>
      <c r="D4" s="30">
        <f t="shared" ref="D4:D6" si="2">1+2</f>
        <v>3</v>
      </c>
      <c r="E4" s="30">
        <f t="shared" ref="E4:E6" si="3">1+2</f>
        <v>3</v>
      </c>
      <c r="F4" s="30">
        <f t="shared" ref="F4:F6" si="4">1+2</f>
        <v>3</v>
      </c>
      <c r="G4" s="30">
        <f t="shared" ref="G4:G6" si="5">1+2</f>
        <v>3</v>
      </c>
      <c r="H4" s="30">
        <f t="shared" ref="H4:H6" si="6">1+2</f>
        <v>3</v>
      </c>
      <c r="I4" s="30">
        <f t="shared" ref="I4:I6" si="7">1+2</f>
        <v>3</v>
      </c>
      <c r="J4" s="30">
        <f t="shared" ref="J4:J6" si="8">1+2</f>
        <v>3</v>
      </c>
      <c r="K4" s="28">
        <v>48</v>
      </c>
      <c r="L4" s="1" t="s">
        <v>7</v>
      </c>
      <c r="M4" s="27">
        <v>44529</v>
      </c>
      <c r="N4" s="30">
        <f t="shared" ref="N4:N6" si="9">1+2</f>
        <v>3</v>
      </c>
      <c r="O4" s="26" t="s">
        <v>8</v>
      </c>
    </row>
    <row r="5" spans="2:15" x14ac:dyDescent="0.3">
      <c r="B5" s="1" t="s">
        <v>13</v>
      </c>
      <c r="C5" s="1" t="s">
        <v>6</v>
      </c>
      <c r="D5" s="30">
        <f t="shared" si="2"/>
        <v>3</v>
      </c>
      <c r="E5" s="30">
        <f t="shared" si="3"/>
        <v>3</v>
      </c>
      <c r="F5" s="30">
        <f t="shared" si="4"/>
        <v>3</v>
      </c>
      <c r="G5" s="30">
        <f t="shared" si="5"/>
        <v>3</v>
      </c>
      <c r="H5" s="30">
        <f t="shared" si="6"/>
        <v>3</v>
      </c>
      <c r="I5" s="30">
        <f t="shared" si="7"/>
        <v>3</v>
      </c>
      <c r="J5" s="30">
        <f t="shared" si="8"/>
        <v>3</v>
      </c>
      <c r="L5" s="1">
        <v>6</v>
      </c>
      <c r="M5" s="27"/>
      <c r="N5" s="30">
        <f t="shared" si="9"/>
        <v>3</v>
      </c>
      <c r="O5" s="26" t="s">
        <v>14</v>
      </c>
    </row>
    <row r="6" spans="2:15" x14ac:dyDescent="0.3">
      <c r="B6" s="1">
        <v>220622</v>
      </c>
      <c r="C6" s="1" t="s">
        <v>6</v>
      </c>
      <c r="D6" s="30">
        <f t="shared" si="2"/>
        <v>3</v>
      </c>
      <c r="E6" s="30">
        <f t="shared" si="3"/>
        <v>3</v>
      </c>
      <c r="F6" s="30">
        <f t="shared" si="4"/>
        <v>3</v>
      </c>
      <c r="G6" s="30">
        <f t="shared" si="5"/>
        <v>3</v>
      </c>
      <c r="H6" s="30">
        <f t="shared" si="6"/>
        <v>3</v>
      </c>
      <c r="I6" s="30">
        <f t="shared" si="7"/>
        <v>3</v>
      </c>
      <c r="J6" s="30">
        <f t="shared" si="8"/>
        <v>3</v>
      </c>
      <c r="K6" s="28" t="s">
        <v>15</v>
      </c>
      <c r="L6" s="1" t="s">
        <v>9</v>
      </c>
      <c r="M6" s="27">
        <v>1</v>
      </c>
      <c r="N6" s="30">
        <f t="shared" si="9"/>
        <v>3</v>
      </c>
      <c r="O6" s="26" t="s">
        <v>10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Лист4</vt:lpstr>
      <vt:lpstr>bg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2023-11-29T19:41:09Z</dcterms:modified>
</cp:coreProperties>
</file>